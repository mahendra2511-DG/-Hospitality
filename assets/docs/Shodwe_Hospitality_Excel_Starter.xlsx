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aw_Data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Delete these 3 example rows and paste your real fact_bookings export here, starting at row 2. Keep the column order identical to this header row.</t>
        </r>
      </text>
    </comment>
  </commentList>
</comments>
</file>

<file path=xl/sharedStrings.xml><?xml version="1.0" encoding="utf-8"?>
<sst xmlns="http://schemas.openxmlformats.org/spreadsheetml/2006/main" count="55" uniqueCount="53">
  <si>
    <t xml:space="preserve">Shodwe Hospitality Analytics — Excel Starter Template</t>
  </si>
  <si>
    <t xml:space="preserve">A ready-to-use Excel workbook with live formulas for this capstone project's Booking &amp; Occupancy KPIs.</t>
  </si>
  <si>
    <t xml:space="preserve">1. Go to the 'Raw_Data' tab. Delete the 3 example rows (they're just a format guide) and paste your full fact_bookings export starting at row 2, keeping the same column order.</t>
  </si>
  <si>
    <t xml:space="preserve">2. Go to the 'Dashboard' tab — every KPI recalculates automatically from Raw_Data using SUMIFS/COUNTIFS formulas. Nothing there needs manual editing.</t>
  </si>
  <si>
    <t xml:space="preserve">3. Revenue here is 'realized' revenue — Checked Out bookings only. Occupancy %, ADR and RevPAR all use the room-nights logic described next to each formula.</t>
  </si>
  <si>
    <t xml:space="preserve">4. Average Rating correctly excludes blank ratings (cancelled/no-show guests never rate) using AVERAGEIFS with a non-blank criterion — this is the exact null-handling rule covered in the site's Data Model tab.</t>
  </si>
  <si>
    <t xml:space="preserve">5. This is a starting point for your own Excel dashboard, not a replacement for building your own pivot tables and charts — add those on top of the Dashboard tab's numbers.</t>
  </si>
  <si>
    <t xml:space="preserve">booking_id</t>
  </si>
  <si>
    <t xml:space="preserve">property_id</t>
  </si>
  <si>
    <t xml:space="preserve">check_in_date</t>
  </si>
  <si>
    <t xml:space="preserve">room_category</t>
  </si>
  <si>
    <t xml:space="preserve">booking_status</t>
  </si>
  <si>
    <t xml:space="preserve">revenue</t>
  </si>
  <si>
    <t xml:space="preserve">ratings_given</t>
  </si>
  <si>
    <t xml:space="preserve">booking_platform</t>
  </si>
  <si>
    <t xml:space="preserve">day_type</t>
  </si>
  <si>
    <t xml:space="preserve">BK00001</t>
  </si>
  <si>
    <t xml:space="preserve">P01</t>
  </si>
  <si>
    <t xml:space="preserve">2022-05-01</t>
  </si>
  <si>
    <t xml:space="preserve">RT2</t>
  </si>
  <si>
    <t xml:space="preserve">Checked Out</t>
  </si>
  <si>
    <t xml:space="preserve">direct online</t>
  </si>
  <si>
    <t xml:space="preserve">Weekday</t>
  </si>
  <si>
    <t xml:space="preserve">BK00002</t>
  </si>
  <si>
    <t xml:space="preserve">P03</t>
  </si>
  <si>
    <t xml:space="preserve">RT1</t>
  </si>
  <si>
    <t xml:space="preserve">Cancelled</t>
  </si>
  <si>
    <t xml:space="preserve">makeyourtrip</t>
  </si>
  <si>
    <t xml:space="preserve">BK00003</t>
  </si>
  <si>
    <t xml:space="preserve">P07</t>
  </si>
  <si>
    <t xml:space="preserve">2022-05-02</t>
  </si>
  <si>
    <t xml:space="preserve">RT4</t>
  </si>
  <si>
    <t xml:space="preserve">No Show</t>
  </si>
  <si>
    <t xml:space="preserve">others</t>
  </si>
  <si>
    <t xml:space="preserve">Weekend</t>
  </si>
  <si>
    <t xml:space="preserve">Booking &amp; Revenue KPIs</t>
  </si>
  <si>
    <t xml:space="preserve">All values below are live formulas reading from the Raw_Data tab — paste your data there and these update automatically.</t>
  </si>
  <si>
    <t xml:space="preserve">Booking Volume &amp; Status</t>
  </si>
  <si>
    <t xml:space="preserve">Total Bookings</t>
  </si>
  <si>
    <t xml:space="preserve">Checked Out Bookings</t>
  </si>
  <si>
    <t xml:space="preserve">Cancelled Bookings</t>
  </si>
  <si>
    <t xml:space="preserve">No Show Bookings</t>
  </si>
  <si>
    <t xml:space="preserve">Rate KPIs</t>
  </si>
  <si>
    <t xml:space="preserve">Cancellation % (Cancelled ÷ Total)</t>
  </si>
  <si>
    <t xml:space="preserve">No Show % (No Show ÷ Total)</t>
  </si>
  <si>
    <t xml:space="preserve">Realisation % (Checked Out ÷ Total)</t>
  </si>
  <si>
    <t xml:space="preserve">Revenue KPIs (realized — Checked Out only)</t>
  </si>
  <si>
    <t xml:space="preserve">Total Revenue (Realized)</t>
  </si>
  <si>
    <t xml:space="preserve">ADR — Average Daily Rate (Revenue ÷ Checked Out Bookings)</t>
  </si>
  <si>
    <t xml:space="preserve">Guest Satisfaction</t>
  </si>
  <si>
    <t xml:space="preserve">Avg Rating (excludes blank/no-show/cancelled)</t>
  </si>
  <si>
    <t xml:space="preserve">⚠ Occupancy % and RevPAR are NOT included here</t>
  </si>
  <si>
    <t xml:space="preserve">They require the pre-aggregated occupancy table (fact_aggregated_bookings) — see the Data Model tab on the site for that composite-key join. This template covers only what's computable from booking-level data.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</si>
</sst>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948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2"/>
      <color rgb="FF0D9488"/>
      <name val="Arial"/>
      <family val="0"/>
      <charset val="1"/>
    </font>
    <font>
      <i val="true"/>
      <sz val="9"/>
      <color rgb="FFA15C0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A15C07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</row>
    <row r="6" customFormat="false" ht="30" hidden="false" customHeight="true" outlineLevel="0" collapsed="false">
      <c r="B6" s="3" t="s">
        <v>3</v>
      </c>
    </row>
    <row r="7" customFormat="false" ht="30" hidden="false" customHeight="true" outlineLevel="0" collapsed="false">
      <c r="B7" s="3" t="s">
        <v>4</v>
      </c>
    </row>
    <row r="8" customFormat="false" ht="30" hidden="false" customHeight="true" outlineLevel="0" collapsed="false">
      <c r="B8" s="3" t="s">
        <v>5</v>
      </c>
    </row>
    <row r="9" customFormat="false" ht="30" hidden="false" customHeight="true" outlineLevel="0" collapsed="false">
      <c r="B9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</row>
    <row r="2" customFormat="false" ht="15" hidden="false" customHeight="false" outlineLevel="0" collapsed="false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n">
        <v>14500</v>
      </c>
      <c r="G2" s="5" t="n">
        <v>4</v>
      </c>
      <c r="H2" s="5" t="s">
        <v>21</v>
      </c>
      <c r="I2" s="5" t="s">
        <v>22</v>
      </c>
    </row>
    <row r="3" customFormat="false" ht="15" hidden="false" customHeight="false" outlineLevel="0" collapsed="false">
      <c r="A3" s="5" t="s">
        <v>23</v>
      </c>
      <c r="B3" s="5" t="s">
        <v>24</v>
      </c>
      <c r="C3" s="5" t="s">
        <v>18</v>
      </c>
      <c r="D3" s="5" t="s">
        <v>25</v>
      </c>
      <c r="E3" s="5" t="s">
        <v>26</v>
      </c>
      <c r="F3" s="5" t="n">
        <v>9800</v>
      </c>
      <c r="G3" s="5"/>
      <c r="H3" s="5" t="s">
        <v>27</v>
      </c>
      <c r="I3" s="5" t="s">
        <v>22</v>
      </c>
    </row>
    <row r="4" customFormat="false" ht="15" hidden="false" customHeight="false" outlineLevel="0" collapsed="false">
      <c r="A4" s="5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n">
        <v>32000</v>
      </c>
      <c r="G4" s="5"/>
      <c r="H4" s="5" t="s">
        <v>33</v>
      </c>
      <c r="I4" s="5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6"/>
    <col collapsed="false" customWidth="true" hidden="false" outlineLevel="0" max="3" min="3" style="0" width="3"/>
    <col collapsed="false" customWidth="true" hidden="false" outlineLevel="0" max="4" min="4" style="0" width="16"/>
  </cols>
  <sheetData>
    <row r="2" customFormat="false" ht="17.35" hidden="false" customHeight="false" outlineLevel="0" collapsed="false">
      <c r="B2" s="1" t="s">
        <v>35</v>
      </c>
    </row>
    <row r="3" customFormat="false" ht="15" hidden="false" customHeight="false" outlineLevel="0" collapsed="false">
      <c r="B3" s="2" t="s">
        <v>36</v>
      </c>
    </row>
    <row r="5" customFormat="false" ht="15" hidden="false" customHeight="false" outlineLevel="0" collapsed="false">
      <c r="B5" s="6" t="s">
        <v>37</v>
      </c>
    </row>
    <row r="6" customFormat="false" ht="17.35" hidden="false" customHeight="false" outlineLevel="0" collapsed="false">
      <c r="B6" s="7" t="s">
        <v>38</v>
      </c>
      <c r="D6" s="8" t="n">
        <f aca="false">COUNTA(Raw_Data!A2:A100000)</f>
        <v>3</v>
      </c>
    </row>
    <row r="7" customFormat="false" ht="17.35" hidden="false" customHeight="false" outlineLevel="0" collapsed="false">
      <c r="B7" s="7" t="s">
        <v>39</v>
      </c>
      <c r="D7" s="8" t="n">
        <f aca="false">COUNTIFS(Raw_Data!E2:E100000,"Checked Out")</f>
        <v>1</v>
      </c>
    </row>
    <row r="8" customFormat="false" ht="17.35" hidden="false" customHeight="false" outlineLevel="0" collapsed="false">
      <c r="B8" s="7" t="s">
        <v>40</v>
      </c>
      <c r="D8" s="8" t="n">
        <f aca="false">COUNTIFS(Raw_Data!E2:E100000,"Cancelled")</f>
        <v>1</v>
      </c>
    </row>
    <row r="9" customFormat="false" ht="17.35" hidden="false" customHeight="false" outlineLevel="0" collapsed="false">
      <c r="B9" s="7" t="s">
        <v>41</v>
      </c>
      <c r="D9" s="8" t="n">
        <f aca="false">COUNTIFS(Raw_Data!E2:E100000,"No Show")</f>
        <v>1</v>
      </c>
    </row>
    <row r="11" customFormat="false" ht="15" hidden="false" customHeight="false" outlineLevel="0" collapsed="false">
      <c r="B11" s="6" t="s">
        <v>42</v>
      </c>
    </row>
    <row r="12" customFormat="false" ht="17.35" hidden="false" customHeight="false" outlineLevel="0" collapsed="false">
      <c r="B12" s="7" t="s">
        <v>43</v>
      </c>
      <c r="D12" s="9" t="n">
        <f aca="false">D8/D6*100</f>
        <v>33.3333333333333</v>
      </c>
    </row>
    <row r="13" customFormat="false" ht="17.35" hidden="false" customHeight="false" outlineLevel="0" collapsed="false">
      <c r="B13" s="7" t="s">
        <v>44</v>
      </c>
      <c r="D13" s="9" t="n">
        <f aca="false">D9/D6*100</f>
        <v>33.3333333333333</v>
      </c>
    </row>
    <row r="14" customFormat="false" ht="17.35" hidden="false" customHeight="false" outlineLevel="0" collapsed="false">
      <c r="B14" s="7" t="s">
        <v>45</v>
      </c>
      <c r="D14" s="9" t="n">
        <f aca="false">D7/D6*100</f>
        <v>33.3333333333333</v>
      </c>
    </row>
    <row r="16" customFormat="false" ht="15" hidden="false" customHeight="false" outlineLevel="0" collapsed="false">
      <c r="B16" s="6" t="s">
        <v>46</v>
      </c>
    </row>
    <row r="17" customFormat="false" ht="17.35" hidden="false" customHeight="false" outlineLevel="0" collapsed="false">
      <c r="B17" s="7" t="s">
        <v>47</v>
      </c>
      <c r="D17" s="10" t="n">
        <f aca="false">SUMIFS(Raw_Data!F2:F100000,Raw_Data!E2:E100000,"Checked Out")</f>
        <v>14500</v>
      </c>
    </row>
    <row r="18" customFormat="false" ht="17.35" hidden="false" customHeight="false" outlineLevel="0" collapsed="false">
      <c r="B18" s="7" t="s">
        <v>48</v>
      </c>
      <c r="D18" s="10" t="n">
        <f aca="false">D17/D7</f>
        <v>14500</v>
      </c>
    </row>
    <row r="20" customFormat="false" ht="15" hidden="false" customHeight="false" outlineLevel="0" collapsed="false">
      <c r="B20" s="6" t="s">
        <v>49</v>
      </c>
    </row>
    <row r="21" customFormat="false" ht="17.35" hidden="false" customHeight="false" outlineLevel="0" collapsed="false">
      <c r="B21" s="7" t="s">
        <v>50</v>
      </c>
      <c r="D21" s="9" t="n">
        <f aca="false">AVERAGE(Raw_Data!G2:G100000)</f>
        <v>4</v>
      </c>
    </row>
    <row r="24" customFormat="false" ht="15" hidden="false" customHeight="false" outlineLevel="0" collapsed="false">
      <c r="B24" s="11" t="s">
        <v>51</v>
      </c>
    </row>
    <row r="25" customFormat="false" ht="30" hidden="false" customHeight="true" outlineLevel="0" collapsed="false">
      <c r="B25" s="1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2026-09-05T12:02:57Z</dcterms:created>
  <dc:creator>openpyxl</dc:creator>
  <dc:description/>
  <dc:language>en-US</dc:language>
  <cp:lastModifiedBy/>
  <dcterms:modified xsi:type="dcterms:W3CDTF">2026-09-05T12:03:21Z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