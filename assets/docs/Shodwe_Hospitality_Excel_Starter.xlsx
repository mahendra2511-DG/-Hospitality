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aw_Data" sheetId="2" state="visible" r:id="rId2"/>
    <sheet xmlns:r="http://schemas.openxmlformats.org/officeDocument/2006/relationships" name="Dashboard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D9488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family val="2"/>
      <sz val="10"/>
    </font>
    <font>
      <name val="Arial"/>
      <charset val="1"/>
      <family val="0"/>
      <b val="1"/>
      <color rgb="FF0D9488"/>
      <sz val="12"/>
    </font>
    <font>
      <name val="Arial"/>
      <charset val="1"/>
      <family val="0"/>
      <i val="1"/>
      <color rgb="FFA15C07"/>
      <sz val="9"/>
    </font>
  </fonts>
  <fills count="3">
    <fill>
      <patternFill/>
    </fill>
    <fill>
      <patternFill patternType="gray125"/>
    </fill>
    <fill>
      <patternFill patternType="solid">
        <fgColor rgb="FF0D9488"/>
        <bgColor rgb="FF008080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4" fontId="4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1" applyAlignment="1" pivotButton="0" quotePrefix="0" xfId="0">
      <alignment horizontal="center" vertical="bottom"/>
    </xf>
    <xf numFmtId="0" fontId="6" fillId="0" borderId="1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2" fontId="4" fillId="0" borderId="0" applyAlignment="1" pivotButton="0" quotePrefix="0" xfId="0">
      <alignment horizontal="general" vertical="bottom"/>
    </xf>
    <xf numFmtId="4" fontId="4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D9488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A15C07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Delete these 3 example rows and paste your real fact_bookings export here, starting at row 2. Keep the column order identical to this header row.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B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3" min="1" max="1"/>
    <col width="110" customWidth="1" style="13" min="2" max="2"/>
  </cols>
  <sheetData>
    <row r="2" ht="17.35" customHeight="1" s="14">
      <c r="B2" s="15" t="inlineStr">
        <is>
          <t>Shodwe Hospitality Analytics — Excel Starter Template</t>
        </is>
      </c>
    </row>
    <row r="3" ht="15" customHeight="1" s="14">
      <c r="B3" s="16" t="inlineStr">
        <is>
          <t>A ready-to-use Excel workbook with live formulas for this capstone project's Booking &amp; Occupancy KPIs.</t>
        </is>
      </c>
    </row>
    <row r="5" ht="30" customHeight="1" s="14">
      <c r="B5" s="17" t="inlineStr">
        <is>
          <t>1. Go to the 'Raw_Data' tab. Delete the 3 example rows (they're just a format guide) and paste your full fact_bookings export starting at row 2, keeping the same column order.</t>
        </is>
      </c>
    </row>
    <row r="6" ht="30" customHeight="1" s="14">
      <c r="B6" s="17" t="inlineStr">
        <is>
          <t>2. Go to the 'Dashboard' tab — every KPI recalculates automatically from Raw_Data using SUMIFS/COUNTIFS formulas. Nothing there needs manual editing.</t>
        </is>
      </c>
    </row>
    <row r="7" ht="30" customHeight="1" s="14">
      <c r="B7" s="17" t="inlineStr">
        <is>
          <t>3. Revenue here is 'realized' revenue — Checked Out bookings only. Occupancy %, ADR and RevPAR all use the room-nights logic described next to each formula.</t>
        </is>
      </c>
    </row>
    <row r="8" ht="30" customHeight="1" s="14">
      <c r="B8" s="17" t="inlineStr">
        <is>
          <t>4. Average Rating correctly excludes blank ratings (cancelled/no-show guests never rate) using AVERAGEIFS with a non-blank criterion — this is the exact null-handling rule covered in the site's Data Model tab.</t>
        </is>
      </c>
    </row>
    <row r="9" ht="30" customHeight="1" s="14">
      <c r="B9" s="17" t="inlineStr">
        <is>
          <t>5. This is a starting point for your own Excel dashboard, not a replacement for building your own pivot tables and charts — add those on top of the Dashboard tab's numbers.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13" min="1" max="9"/>
  </cols>
  <sheetData>
    <row r="1" ht="15" customHeight="1" s="14">
      <c r="A1" s="18" t="inlineStr">
        <is>
          <t>booking_id</t>
        </is>
      </c>
      <c r="B1" s="18" t="inlineStr">
        <is>
          <t>property_id</t>
        </is>
      </c>
      <c r="C1" s="18" t="inlineStr">
        <is>
          <t>check_in_date</t>
        </is>
      </c>
      <c r="D1" s="18" t="inlineStr">
        <is>
          <t>room_category</t>
        </is>
      </c>
      <c r="E1" s="18" t="inlineStr">
        <is>
          <t>booking_status</t>
        </is>
      </c>
      <c r="F1" s="18" t="inlineStr">
        <is>
          <t>revenue</t>
        </is>
      </c>
      <c r="G1" s="18" t="inlineStr">
        <is>
          <t>ratings_given</t>
        </is>
      </c>
      <c r="H1" s="18" t="inlineStr">
        <is>
          <t>booking_platform</t>
        </is>
      </c>
      <c r="I1" s="18" t="inlineStr">
        <is>
          <t>day_type</t>
        </is>
      </c>
    </row>
    <row r="2" ht="15" customHeight="1" s="14">
      <c r="A2" s="19" t="inlineStr">
        <is>
          <t>BK00001</t>
        </is>
      </c>
      <c r="B2" s="19" t="inlineStr">
        <is>
          <t>P01</t>
        </is>
      </c>
      <c r="C2" s="19" t="inlineStr">
        <is>
          <t>2022-05-01</t>
        </is>
      </c>
      <c r="D2" s="19" t="inlineStr">
        <is>
          <t>RT2</t>
        </is>
      </c>
      <c r="E2" s="19" t="inlineStr">
        <is>
          <t>Checked Out</t>
        </is>
      </c>
      <c r="F2" s="19" t="n">
        <v>14500</v>
      </c>
      <c r="G2" s="19" t="n">
        <v>4</v>
      </c>
      <c r="H2" s="19" t="inlineStr">
        <is>
          <t>direct online</t>
        </is>
      </c>
      <c r="I2" s="19" t="inlineStr">
        <is>
          <t>Weekday</t>
        </is>
      </c>
    </row>
    <row r="3" ht="15" customHeight="1" s="14">
      <c r="A3" s="19" t="inlineStr">
        <is>
          <t>BK00002</t>
        </is>
      </c>
      <c r="B3" s="19" t="inlineStr">
        <is>
          <t>P03</t>
        </is>
      </c>
      <c r="C3" s="19" t="inlineStr">
        <is>
          <t>2022-05-01</t>
        </is>
      </c>
      <c r="D3" s="19" t="inlineStr">
        <is>
          <t>RT1</t>
        </is>
      </c>
      <c r="E3" s="19" t="inlineStr">
        <is>
          <t>Cancelled</t>
        </is>
      </c>
      <c r="F3" s="19" t="n">
        <v>9800</v>
      </c>
      <c r="G3" s="19" t="n"/>
      <c r="H3" s="19" t="inlineStr">
        <is>
          <t>makeyourtrip</t>
        </is>
      </c>
      <c r="I3" s="19" t="inlineStr">
        <is>
          <t>Weekday</t>
        </is>
      </c>
    </row>
    <row r="4" ht="15" customHeight="1" s="14">
      <c r="A4" s="19" t="inlineStr">
        <is>
          <t>BK00003</t>
        </is>
      </c>
      <c r="B4" s="19" t="inlineStr">
        <is>
          <t>P07</t>
        </is>
      </c>
      <c r="C4" s="19" t="inlineStr">
        <is>
          <t>2022-05-02</t>
        </is>
      </c>
      <c r="D4" s="19" t="inlineStr">
        <is>
          <t>RT4</t>
        </is>
      </c>
      <c r="E4" s="19" t="inlineStr">
        <is>
          <t>No Show</t>
        </is>
      </c>
      <c r="F4" s="19" t="n">
        <v>32000</v>
      </c>
      <c r="G4" s="19" t="n"/>
      <c r="H4" s="19" t="inlineStr">
        <is>
          <t>others</t>
        </is>
      </c>
      <c r="I4" s="19" t="inlineStr">
        <is>
          <t>Weekend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13" min="1" max="1"/>
    <col width="56" customWidth="1" style="13" min="2" max="2"/>
    <col width="3" customWidth="1" style="13" min="3" max="3"/>
    <col width="16" customWidth="1" style="13" min="4" max="4"/>
  </cols>
  <sheetData>
    <row r="1"/>
    <row r="2" ht="17.35" customHeight="1" s="14">
      <c r="B2" s="15" t="inlineStr">
        <is>
          <t>Booking &amp; Revenue KPIs</t>
        </is>
      </c>
    </row>
    <row r="3" ht="15" customHeight="1" s="14">
      <c r="B3" s="16" t="inlineStr">
        <is>
          <t>All values below are live formulas reading from the Raw_Data tab — paste your data there and these update automatically.</t>
        </is>
      </c>
    </row>
    <row r="4"/>
    <row r="5" ht="15" customHeight="1" s="14">
      <c r="B5" s="20" t="inlineStr">
        <is>
          <t>Booking Volume &amp; Status</t>
        </is>
      </c>
    </row>
    <row r="6" ht="17.35" customHeight="1" s="14">
      <c r="B6" s="21" t="inlineStr">
        <is>
          <t>Total Bookings</t>
        </is>
      </c>
      <c r="D6" s="22">
        <f>COUNTA(Raw_Data!A2:A100000)</f>
        <v/>
      </c>
    </row>
    <row r="7" ht="17.35" customHeight="1" s="14">
      <c r="B7" s="21" t="inlineStr">
        <is>
          <t>Checked Out Bookings</t>
        </is>
      </c>
      <c r="D7" s="22">
        <f>COUNTIFS(Raw_Data!E2:E100000,"Checked Out")</f>
        <v/>
      </c>
    </row>
    <row r="8" ht="17.35" customHeight="1" s="14">
      <c r="B8" s="21" t="inlineStr">
        <is>
          <t>Cancelled Bookings</t>
        </is>
      </c>
      <c r="D8" s="22">
        <f>COUNTIFS(Raw_Data!E2:E100000,"Cancelled")</f>
        <v/>
      </c>
    </row>
    <row r="9" ht="17.35" customHeight="1" s="14">
      <c r="B9" s="21" t="inlineStr">
        <is>
          <t>No Show Bookings</t>
        </is>
      </c>
      <c r="D9" s="22">
        <f>COUNTIFS(Raw_Data!E2:E100000,"No Show")</f>
        <v/>
      </c>
    </row>
    <row r="10"/>
    <row r="11" ht="15" customHeight="1" s="14">
      <c r="B11" s="20" t="inlineStr">
        <is>
          <t>Rate KPIs</t>
        </is>
      </c>
    </row>
    <row r="12" ht="17.35" customHeight="1" s="14">
      <c r="B12" s="21" t="inlineStr">
        <is>
          <t>Cancellation % (Cancelled ÷ Total)</t>
        </is>
      </c>
      <c r="D12" s="23">
        <f>D8/D6*100</f>
        <v/>
      </c>
    </row>
    <row r="13" ht="17.35" customHeight="1" s="14">
      <c r="B13" s="21" t="inlineStr">
        <is>
          <t>No Show % (No Show ÷ Total)</t>
        </is>
      </c>
      <c r="D13" s="23">
        <f>D9/D6*100</f>
        <v/>
      </c>
    </row>
    <row r="14" ht="17.35" customHeight="1" s="14">
      <c r="B14" s="21" t="inlineStr">
        <is>
          <t>Realisation % (Checked Out ÷ Total)</t>
        </is>
      </c>
      <c r="D14" s="23">
        <f>D7/D6*100</f>
        <v/>
      </c>
    </row>
    <row r="15"/>
    <row r="16" ht="15" customHeight="1" s="14">
      <c r="B16" s="20" t="inlineStr">
        <is>
          <t>Revenue KPIs (realized — Checked Out only)</t>
        </is>
      </c>
    </row>
    <row r="17" ht="17.35" customHeight="1" s="14">
      <c r="B17" s="21" t="inlineStr">
        <is>
          <t>Total Revenue (revenue_realized, all statuses: cancelled rows already carry 60%)</t>
        </is>
      </c>
      <c r="D17" s="24">
        <f>SUM(Raw_Data!F2:F100000)</f>
        <v/>
      </c>
    </row>
    <row r="18" ht="17.35" customHeight="1" s="14">
      <c r="B18" s="21" t="inlineStr">
        <is>
          <t>ADR — Average Daily Rate (Revenue ÷ Total Bookings, per the KPI register)</t>
        </is>
      </c>
      <c r="D18" s="24">
        <f>D17/D6</f>
        <v/>
      </c>
    </row>
    <row r="19"/>
    <row r="20" ht="15" customHeight="1" s="14">
      <c r="B20" s="20" t="inlineStr">
        <is>
          <t>Guest Satisfaction</t>
        </is>
      </c>
    </row>
    <row r="21" ht="17.35" customHeight="1" s="14">
      <c r="B21" s="21" t="inlineStr">
        <is>
          <t>Avg Rating (excludes blank/no-show/cancelled)</t>
        </is>
      </c>
      <c r="D21" s="23">
        <f>AVERAGE(Raw_Data!G2:G100000)</f>
        <v/>
      </c>
    </row>
    <row r="22"/>
    <row r="23"/>
    <row r="24" ht="15" customHeight="1" s="14">
      <c r="B24" s="25" t="inlineStr">
        <is>
          <t>⚠ Occupancy % and RevPAR are NOT included here</t>
        </is>
      </c>
    </row>
    <row r="25" ht="30" customHeight="1" s="14">
      <c r="B25" s="26" t="inlineStr">
        <is>
          <t>They require the pre-aggregated occupancy table (fact_aggregated_bookings) — see the Data Model tab on the site for that composite-key join. This template covers only what's computable from booking-level data.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2026-09-05T12:02:57Z</dcterms:created>
  <dcterms:modified xmlns:dcterms="http://purl.org/dc/terms/" xmlns:xsi="http://www.w3.org/2001/XMLSchema-instance" xsi:type="dcterms:W3CDTF">2026-10-03T06:08:28Z</dcterms:modified>
  <cp:revision>0</cp:revision>
</cp:coreProperties>
</file>